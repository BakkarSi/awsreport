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ch 2026 — By Project" sheetId="1" state="visible" r:id="rId1"/>
    <sheet name="Tag Alias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.00;($#,##0.00);&quot;-&quot;"/>
    <numFmt numFmtId="166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color rgb="00FFFFFF"/>
      <sz val="9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b val="1"/>
      <color rgb="001F3864"/>
      <sz val="10"/>
    </font>
    <font>
      <name val="Arial"/>
      <color rgb="00000000"/>
      <sz val="10"/>
    </font>
    <font>
      <name val="Arial"/>
      <color rgb="00BBBBBB"/>
      <sz val="10"/>
    </font>
    <font>
      <name val="Arial"/>
      <color rgb="00999999"/>
      <sz val="10"/>
    </font>
    <font>
      <name val="Arial"/>
      <b val="1"/>
      <color rgb="00FFFFFF"/>
      <sz val="11"/>
    </font>
    <font>
      <name val="Arial"/>
      <i val="1"/>
      <color rgb="007F6000"/>
      <sz val="9"/>
    </font>
    <font>
      <name val="Arial"/>
      <b val="1"/>
      <color rgb="00FFFFFF"/>
      <sz val="12"/>
    </font>
    <font>
      <name val="Arial"/>
      <b val="1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57"/>
      </patternFill>
    </fill>
    <fill>
      <patternFill patternType="solid">
        <fgColor rgb="00243858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7F7F7"/>
      </patternFill>
    </fill>
    <fill>
      <patternFill patternType="solid">
        <fgColor rgb="00FFF9E6"/>
      </patternFill>
    </fill>
  </fills>
  <borders count="3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164" fontId="6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 wrapText="1"/>
    </xf>
    <xf numFmtId="164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 wrapText="1"/>
    </xf>
    <xf numFmtId="164" fontId="7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165" fontId="9" fillId="8" borderId="1" applyAlignment="1" pivotButton="0" quotePrefix="0" xfId="0">
      <alignment horizontal="right" vertical="center"/>
    </xf>
    <xf numFmtId="165" fontId="9" fillId="7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right" vertical="center"/>
    </xf>
    <xf numFmtId="165" fontId="9" fillId="9" borderId="1" applyAlignment="1" pivotButton="0" quotePrefix="0" xfId="0">
      <alignment horizontal="right" vertical="center"/>
    </xf>
    <xf numFmtId="0" fontId="10" fillId="2" borderId="2" applyAlignment="1" pivotButton="0" quotePrefix="0" xfId="0">
      <alignment horizontal="left" vertical="center" wrapText="1"/>
    </xf>
    <xf numFmtId="164" fontId="10" fillId="2" borderId="2" applyAlignment="1" pivotButton="0" quotePrefix="0" xfId="0">
      <alignment horizontal="right" vertical="center"/>
    </xf>
    <xf numFmtId="0" fontId="11" fillId="10" borderId="0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164" fontId="13" fillId="8" borderId="1" applyAlignment="1" pivotButton="0" quotePrefix="0" xfId="0">
      <alignment horizontal="right" vertical="center"/>
    </xf>
    <xf numFmtId="164" fontId="13" fillId="7" borderId="1" applyAlignment="1" pivotButton="0" quotePrefix="0" xfId="0">
      <alignment horizontal="right" vertical="center"/>
    </xf>
    <xf numFmtId="166" fontId="7" fillId="7" borderId="1" applyAlignment="1" pivotButton="0" quotePrefix="0" xfId="0">
      <alignment horizontal="right" vertical="center"/>
    </xf>
    <xf numFmtId="166" fontId="13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2" customHeight="1">
      <c r="A1" s="1" t="inlineStr">
        <is>
          <t>AWS Cost Finance Report — March 2026</t>
        </is>
      </c>
    </row>
    <row r="2" ht="20" customHeight="1">
      <c r="A2" s="2" t="inlineStr">
        <is>
          <t>Single account  |  Tag: 'Project'  |  Untagged/unknown → Shared Services ÷ 5</t>
        </is>
      </c>
    </row>
    <row r="3" ht="18" customHeight="1">
      <c r="A3" s="3" t="inlineStr">
        <is>
          <t>Tag aliases  |  PWCT: PWCT, Project_PWCT  |  KGAC: PWCT_KGAC  |  SCZ: PWCT_ECA, PWCT_SCEZ, PWCT_SCZ, PWCT-SCZ  |  EPM: PWCT-EPM, PWCT_EPM  |  AES Development: AES_DEV, PWCT_AES, PWCT_DEV, PWCT-AES</t>
        </is>
      </c>
    </row>
    <row r="4" ht="8" customHeight="1"/>
    <row r="5" ht="36" customHeight="1">
      <c r="A5" s="4" t="inlineStr">
        <is>
          <t>Service</t>
        </is>
      </c>
      <c r="B5" s="4" t="inlineStr">
        <is>
          <t>Shared Services ($)</t>
        </is>
      </c>
      <c r="C5" s="4" t="inlineStr">
        <is>
          <t>PWCT ($)</t>
        </is>
      </c>
      <c r="D5" s="4" t="inlineStr">
        <is>
          <t>KGAC ($)</t>
        </is>
      </c>
      <c r="E5" s="4" t="inlineStr">
        <is>
          <t>SCZ ($)</t>
        </is>
      </c>
      <c r="F5" s="4" t="inlineStr">
        <is>
          <t>EPM ($)</t>
        </is>
      </c>
      <c r="G5" s="4" t="inlineStr">
        <is>
          <t>AES Development ($)</t>
        </is>
      </c>
      <c r="H5" s="4" t="inlineStr">
        <is>
          <t>Grand Total ($)</t>
        </is>
      </c>
    </row>
    <row r="6" ht="20" customHeight="1">
      <c r="A6" s="5" t="inlineStr">
        <is>
          <t>Shared Services — Total (untagged + unknown tags)</t>
        </is>
      </c>
      <c r="B6" s="6">
        <f>SUMIF(B7:B38,"&gt;0",B7:B38)</f>
        <v/>
      </c>
      <c r="C6" s="7" t="inlineStr">
        <is>
          <t>↓ allocated below</t>
        </is>
      </c>
      <c r="D6" s="7" t="inlineStr">
        <is>
          <t>↓ allocated below</t>
        </is>
      </c>
      <c r="E6" s="7" t="inlineStr">
        <is>
          <t>↓ allocated below</t>
        </is>
      </c>
      <c r="F6" s="7" t="inlineStr">
        <is>
          <t>↓ allocated below</t>
        </is>
      </c>
      <c r="G6" s="7" t="inlineStr">
        <is>
          <t>↓ allocated below</t>
        </is>
      </c>
      <c r="H6" s="7" t="inlineStr">
        <is>
          <t>↓ allocated below</t>
        </is>
      </c>
    </row>
    <row r="7" ht="20" customHeight="1">
      <c r="A7" s="8" t="inlineStr">
        <is>
          <t xml:space="preserve">  Shared Services allocation per project (÷5)</t>
        </is>
      </c>
      <c r="B7" s="9" t="inlineStr"/>
      <c r="C7" s="10">
        <f>$B$6/5</f>
        <v/>
      </c>
      <c r="D7" s="10">
        <f>$B$6/5</f>
        <v/>
      </c>
      <c r="E7" s="10">
        <f>$B$6/5</f>
        <v/>
      </c>
      <c r="F7" s="10">
        <f>$B$6/5</f>
        <v/>
      </c>
      <c r="G7" s="10">
        <f>$B$6/5</f>
        <v/>
      </c>
      <c r="H7" s="10">
        <f>$B$6</f>
        <v/>
      </c>
    </row>
    <row r="9" ht="18" customHeight="1">
      <c r="A9" s="11" t="inlineStr">
        <is>
          <t>Amazon Virtual Private Cloud</t>
        </is>
      </c>
      <c r="B9" s="12" t="n">
        <v>1571.93</v>
      </c>
      <c r="C9" s="12" t="n">
        <v>17.84</v>
      </c>
      <c r="D9" s="12" t="n">
        <v>7.91</v>
      </c>
      <c r="E9" s="12" t="n">
        <v>143.86</v>
      </c>
      <c r="F9" s="13" t="inlineStr">
        <is>
          <t>—</t>
        </is>
      </c>
      <c r="G9" s="13" t="inlineStr">
        <is>
          <t>—</t>
        </is>
      </c>
      <c r="H9" s="12">
        <f>C9+ D9+ E9+ $B$6/5</f>
        <v/>
      </c>
    </row>
    <row r="10" ht="18" customHeight="1">
      <c r="A10" s="14" t="inlineStr">
        <is>
          <t>EC2 - Other</t>
        </is>
      </c>
      <c r="B10" s="15" t="n">
        <v>1236.84</v>
      </c>
      <c r="C10" s="15" t="n">
        <v>6.81</v>
      </c>
      <c r="D10" s="15" t="n">
        <v>330.39</v>
      </c>
      <c r="E10" s="15" t="n">
        <v>1771.68</v>
      </c>
      <c r="F10" s="15" t="n">
        <v>131.65</v>
      </c>
      <c r="G10" s="15" t="n">
        <v>16.61</v>
      </c>
      <c r="H10" s="15">
        <f>C10+ D10+ E10+ F10+ G10+ $B$6/5</f>
        <v/>
      </c>
    </row>
    <row r="11" ht="18" customHeight="1">
      <c r="A11" s="11" t="inlineStr">
        <is>
          <t>Tax</t>
        </is>
      </c>
      <c r="B11" s="12" t="n">
        <v>917.7</v>
      </c>
      <c r="C11" s="13" t="inlineStr">
        <is>
          <t>—</t>
        </is>
      </c>
      <c r="D11" s="13" t="inlineStr">
        <is>
          <t>—</t>
        </is>
      </c>
      <c r="E11" s="13" t="inlineStr">
        <is>
          <t>—</t>
        </is>
      </c>
      <c r="F11" s="13" t="inlineStr">
        <is>
          <t>—</t>
        </is>
      </c>
      <c r="G11" s="13" t="inlineStr">
        <is>
          <t>—</t>
        </is>
      </c>
      <c r="H11" s="12">
        <f>$B$6/5</f>
        <v/>
      </c>
    </row>
    <row r="12" ht="18" customHeight="1">
      <c r="A12" s="14" t="inlineStr">
        <is>
          <t>Amazon Relational Database Service</t>
        </is>
      </c>
      <c r="B12" s="15" t="n">
        <v>236.17</v>
      </c>
      <c r="C12" s="15" t="n">
        <v>201.33</v>
      </c>
      <c r="D12" s="16" t="inlineStr">
        <is>
          <t>—</t>
        </is>
      </c>
      <c r="E12" s="15" t="n">
        <v>778.72</v>
      </c>
      <c r="F12" s="16" t="inlineStr">
        <is>
          <t>—</t>
        </is>
      </c>
      <c r="G12" s="15" t="n">
        <v>347.61</v>
      </c>
      <c r="H12" s="15">
        <f>C12+ E12+ G12+ $B$6/5</f>
        <v/>
      </c>
    </row>
    <row r="13" ht="18" customHeight="1">
      <c r="A13" s="11" t="inlineStr">
        <is>
          <t>Amazon RDS Optimize CPU License Included Third Party Fees</t>
        </is>
      </c>
      <c r="B13" s="12" t="n">
        <v>108.35</v>
      </c>
      <c r="C13" s="12" t="n">
        <v>119.04</v>
      </c>
      <c r="D13" s="13" t="inlineStr">
        <is>
          <t>—</t>
        </is>
      </c>
      <c r="E13" s="13" t="inlineStr">
        <is>
          <t>—</t>
        </is>
      </c>
      <c r="F13" s="13" t="inlineStr">
        <is>
          <t>—</t>
        </is>
      </c>
      <c r="G13" s="13" t="inlineStr">
        <is>
          <t>—</t>
        </is>
      </c>
      <c r="H13" s="12">
        <f>C13+ $B$6/5</f>
        <v/>
      </c>
    </row>
    <row r="14" ht="18" customHeight="1">
      <c r="A14" s="14" t="inlineStr">
        <is>
          <t>Amazon QuickSight</t>
        </is>
      </c>
      <c r="B14" s="15" t="n">
        <v>60.42</v>
      </c>
      <c r="C14" s="16" t="inlineStr">
        <is>
          <t>—</t>
        </is>
      </c>
      <c r="D14" s="16" t="inlineStr">
        <is>
          <t>—</t>
        </is>
      </c>
      <c r="E14" s="16" t="inlineStr">
        <is>
          <t>—</t>
        </is>
      </c>
      <c r="F14" s="16" t="inlineStr">
        <is>
          <t>—</t>
        </is>
      </c>
      <c r="G14" s="16" t="inlineStr">
        <is>
          <t>—</t>
        </is>
      </c>
      <c r="H14" s="15">
        <f>$B$6/5</f>
        <v/>
      </c>
    </row>
    <row r="15" ht="18" customHeight="1">
      <c r="A15" s="11" t="inlineStr">
        <is>
          <t>AWS CloudTrail</t>
        </is>
      </c>
      <c r="B15" s="12" t="n">
        <v>55.46</v>
      </c>
      <c r="C15" s="13" t="inlineStr">
        <is>
          <t>—</t>
        </is>
      </c>
      <c r="D15" s="13" t="inlineStr">
        <is>
          <t>—</t>
        </is>
      </c>
      <c r="E15" s="13" t="inlineStr">
        <is>
          <t>—</t>
        </is>
      </c>
      <c r="F15" s="13" t="inlineStr">
        <is>
          <t>—</t>
        </is>
      </c>
      <c r="G15" s="13" t="inlineStr">
        <is>
          <t>—</t>
        </is>
      </c>
      <c r="H15" s="12">
        <f>$B$6/5</f>
        <v/>
      </c>
    </row>
    <row r="16" ht="18" customHeight="1">
      <c r="A16" s="14" t="inlineStr">
        <is>
          <t>AWS WAF</t>
        </is>
      </c>
      <c r="B16" s="15" t="n">
        <v>54.06</v>
      </c>
      <c r="C16" s="16" t="inlineStr">
        <is>
          <t>—</t>
        </is>
      </c>
      <c r="D16" s="16" t="inlineStr">
        <is>
          <t>—</t>
        </is>
      </c>
      <c r="E16" s="16" t="inlineStr">
        <is>
          <t>—</t>
        </is>
      </c>
      <c r="F16" s="16" t="inlineStr">
        <is>
          <t>—</t>
        </is>
      </c>
      <c r="G16" s="16" t="inlineStr">
        <is>
          <t>—</t>
        </is>
      </c>
      <c r="H16" s="15">
        <f>$B$6/5</f>
        <v/>
      </c>
    </row>
    <row r="17" ht="18" customHeight="1">
      <c r="A17" s="11" t="inlineStr">
        <is>
          <t>AWS Identity and Access Management Access Analyzer</t>
        </is>
      </c>
      <c r="B17" s="12" t="n">
        <v>44.8</v>
      </c>
      <c r="C17" s="13" t="inlineStr">
        <is>
          <t>—</t>
        </is>
      </c>
      <c r="D17" s="13" t="inlineStr">
        <is>
          <t>—</t>
        </is>
      </c>
      <c r="E17" s="13" t="inlineStr">
        <is>
          <t>—</t>
        </is>
      </c>
      <c r="F17" s="13" t="inlineStr">
        <is>
          <t>—</t>
        </is>
      </c>
      <c r="G17" s="13" t="inlineStr">
        <is>
          <t>—</t>
        </is>
      </c>
      <c r="H17" s="12">
        <f>$B$6/5</f>
        <v/>
      </c>
    </row>
    <row r="18" ht="18" customHeight="1">
      <c r="A18" s="14" t="inlineStr">
        <is>
          <t>AWS Config</t>
        </is>
      </c>
      <c r="B18" s="15" t="n">
        <v>43.69</v>
      </c>
      <c r="C18" s="16" t="inlineStr">
        <is>
          <t>—</t>
        </is>
      </c>
      <c r="D18" s="16" t="inlineStr">
        <is>
          <t>—</t>
        </is>
      </c>
      <c r="E18" s="16" t="inlineStr">
        <is>
          <t>—</t>
        </is>
      </c>
      <c r="F18" s="16" t="inlineStr">
        <is>
          <t>—</t>
        </is>
      </c>
      <c r="G18" s="16" t="inlineStr">
        <is>
          <t>—</t>
        </is>
      </c>
      <c r="H18" s="15">
        <f>$B$6/5</f>
        <v/>
      </c>
    </row>
    <row r="19" ht="18" customHeight="1">
      <c r="A19" s="11" t="inlineStr">
        <is>
          <t>Amazon Elastic Load Balancing</t>
        </is>
      </c>
      <c r="B19" s="12" t="n">
        <v>35.75</v>
      </c>
      <c r="C19" s="12" t="n">
        <v>491.45</v>
      </c>
      <c r="D19" s="12" t="n">
        <v>17.9</v>
      </c>
      <c r="E19" s="12" t="n">
        <v>829.28</v>
      </c>
      <c r="F19" s="12" t="n">
        <v>35.74</v>
      </c>
      <c r="G19" s="12" t="n">
        <v>68.06</v>
      </c>
      <c r="H19" s="12">
        <f>C19+ D19+ E19+ F19+ G19+ $B$6/5</f>
        <v/>
      </c>
    </row>
    <row r="20" ht="18" customHeight="1">
      <c r="A20" s="14" t="inlineStr">
        <is>
          <t>Amazon WorkSpaces</t>
        </is>
      </c>
      <c r="B20" s="15" t="n">
        <v>34.63</v>
      </c>
      <c r="C20" s="15" t="n">
        <v>14.99</v>
      </c>
      <c r="D20" s="15" t="n">
        <v>1677.39</v>
      </c>
      <c r="E20" s="15" t="n">
        <v>252.51</v>
      </c>
      <c r="F20" s="16" t="inlineStr">
        <is>
          <t>—</t>
        </is>
      </c>
      <c r="G20" s="15" t="n">
        <v>48.95</v>
      </c>
      <c r="H20" s="15">
        <f>C20+ D20+ E20+ G20+ $B$6/5</f>
        <v/>
      </c>
    </row>
    <row r="21" ht="18" customHeight="1">
      <c r="A21" s="11" t="inlineStr">
        <is>
          <t>Amazon Q</t>
        </is>
      </c>
      <c r="B21" s="12" t="n">
        <v>19</v>
      </c>
      <c r="C21" s="13" t="inlineStr">
        <is>
          <t>—</t>
        </is>
      </c>
      <c r="D21" s="13" t="inlineStr">
        <is>
          <t>—</t>
        </is>
      </c>
      <c r="E21" s="13" t="inlineStr">
        <is>
          <t>—</t>
        </is>
      </c>
      <c r="F21" s="13" t="inlineStr">
        <is>
          <t>—</t>
        </is>
      </c>
      <c r="G21" s="13" t="inlineStr">
        <is>
          <t>—</t>
        </is>
      </c>
      <c r="H21" s="12">
        <f>$B$6/5</f>
        <v/>
      </c>
    </row>
    <row r="22" ht="18" customHeight="1">
      <c r="A22" s="14" t="inlineStr">
        <is>
          <t>AmazonCloudWatch</t>
        </is>
      </c>
      <c r="B22" s="15" t="n">
        <v>9.73</v>
      </c>
      <c r="C22" s="15" t="n">
        <v>1.97</v>
      </c>
      <c r="D22" s="16" t="inlineStr">
        <is>
          <t>—</t>
        </is>
      </c>
      <c r="E22" s="15" t="n">
        <v>8.699999999999999</v>
      </c>
      <c r="F22" s="17" t="n">
        <v>0</v>
      </c>
      <c r="G22" s="15" t="n">
        <v>3.82</v>
      </c>
      <c r="H22" s="15">
        <f>C22+ E22+ G22+ $B$6/5</f>
        <v/>
      </c>
    </row>
    <row r="23" ht="18" customHeight="1">
      <c r="A23" s="11" t="inlineStr">
        <is>
          <t>Amazon Route 53</t>
        </is>
      </c>
      <c r="B23" s="12" t="n">
        <v>3.66</v>
      </c>
      <c r="C23" s="12" t="n">
        <v>3.02</v>
      </c>
      <c r="D23" s="13" t="inlineStr">
        <is>
          <t>—</t>
        </is>
      </c>
      <c r="E23" s="13" t="inlineStr">
        <is>
          <t>—</t>
        </is>
      </c>
      <c r="F23" s="13" t="inlineStr">
        <is>
          <t>—</t>
        </is>
      </c>
      <c r="G23" s="13" t="inlineStr">
        <is>
          <t>—</t>
        </is>
      </c>
      <c r="H23" s="12">
        <f>C23+ $B$6/5</f>
        <v/>
      </c>
    </row>
    <row r="24" ht="18" customHeight="1">
      <c r="A24" s="14" t="inlineStr">
        <is>
          <t>AWS Glue</t>
        </is>
      </c>
      <c r="B24" s="15" t="n">
        <v>3.3</v>
      </c>
      <c r="C24" s="16" t="inlineStr">
        <is>
          <t>—</t>
        </is>
      </c>
      <c r="D24" s="16" t="inlineStr">
        <is>
          <t>—</t>
        </is>
      </c>
      <c r="E24" s="16" t="inlineStr">
        <is>
          <t>—</t>
        </is>
      </c>
      <c r="F24" s="16" t="inlineStr">
        <is>
          <t>—</t>
        </is>
      </c>
      <c r="G24" s="16" t="inlineStr">
        <is>
          <t>—</t>
        </is>
      </c>
      <c r="H24" s="15">
        <f>$B$6/5</f>
        <v/>
      </c>
    </row>
    <row r="25" ht="18" customHeight="1">
      <c r="A25" s="11" t="inlineStr">
        <is>
          <t>Amazon Macie</t>
        </is>
      </c>
      <c r="B25" s="12" t="n">
        <v>3.1</v>
      </c>
      <c r="C25" s="13" t="inlineStr">
        <is>
          <t>—</t>
        </is>
      </c>
      <c r="D25" s="13" t="inlineStr">
        <is>
          <t>—</t>
        </is>
      </c>
      <c r="E25" s="13" t="inlineStr">
        <is>
          <t>—</t>
        </is>
      </c>
      <c r="F25" s="13" t="inlineStr">
        <is>
          <t>—</t>
        </is>
      </c>
      <c r="G25" s="13" t="inlineStr">
        <is>
          <t>—</t>
        </is>
      </c>
      <c r="H25" s="12">
        <f>$B$6/5</f>
        <v/>
      </c>
    </row>
    <row r="26" ht="18" customHeight="1">
      <c r="A26" s="14" t="inlineStr">
        <is>
          <t>AWS Systems Manager</t>
        </is>
      </c>
      <c r="B26" s="15" t="n">
        <v>2.5</v>
      </c>
      <c r="C26" s="16" t="inlineStr">
        <is>
          <t>—</t>
        </is>
      </c>
      <c r="D26" s="16" t="inlineStr">
        <is>
          <t>—</t>
        </is>
      </c>
      <c r="E26" s="16" t="inlineStr">
        <is>
          <t>—</t>
        </is>
      </c>
      <c r="F26" s="16" t="inlineStr">
        <is>
          <t>—</t>
        </is>
      </c>
      <c r="G26" s="16" t="inlineStr">
        <is>
          <t>—</t>
        </is>
      </c>
      <c r="H26" s="15">
        <f>$B$6/5</f>
        <v/>
      </c>
    </row>
    <row r="27" ht="18" customHeight="1">
      <c r="A27" s="11" t="inlineStr">
        <is>
          <t>AWS Cost Explorer</t>
        </is>
      </c>
      <c r="B27" s="12" t="n">
        <v>2.03</v>
      </c>
      <c r="C27" s="13" t="inlineStr">
        <is>
          <t>—</t>
        </is>
      </c>
      <c r="D27" s="13" t="inlineStr">
        <is>
          <t>—</t>
        </is>
      </c>
      <c r="E27" s="13" t="inlineStr">
        <is>
          <t>—</t>
        </is>
      </c>
      <c r="F27" s="13" t="inlineStr">
        <is>
          <t>—</t>
        </is>
      </c>
      <c r="G27" s="13" t="inlineStr">
        <is>
          <t>—</t>
        </is>
      </c>
      <c r="H27" s="12">
        <f>$B$6/5</f>
        <v/>
      </c>
    </row>
    <row r="28" ht="18" customHeight="1">
      <c r="A28" s="14" t="inlineStr">
        <is>
          <t>AWS Secrets Manager</t>
        </is>
      </c>
      <c r="B28" s="15" t="n">
        <v>1.2</v>
      </c>
      <c r="C28" s="16" t="inlineStr">
        <is>
          <t>—</t>
        </is>
      </c>
      <c r="D28" s="16" t="inlineStr">
        <is>
          <t>—</t>
        </is>
      </c>
      <c r="E28" s="16" t="inlineStr">
        <is>
          <t>—</t>
        </is>
      </c>
      <c r="F28" s="16" t="inlineStr">
        <is>
          <t>—</t>
        </is>
      </c>
      <c r="G28" s="16" t="inlineStr">
        <is>
          <t>—</t>
        </is>
      </c>
      <c r="H28" s="15">
        <f>$B$6/5</f>
        <v/>
      </c>
    </row>
    <row r="29" ht="18" customHeight="1">
      <c r="A29" s="11" t="inlineStr">
        <is>
          <t>Amazon Simple Storage Service</t>
        </is>
      </c>
      <c r="B29" s="12" t="n">
        <v>0.63</v>
      </c>
      <c r="C29" s="12" t="n">
        <v>15.92</v>
      </c>
      <c r="D29" s="18" t="n">
        <v>0</v>
      </c>
      <c r="E29" s="12" t="n">
        <v>11.95</v>
      </c>
      <c r="F29" s="13" t="inlineStr">
        <is>
          <t>—</t>
        </is>
      </c>
      <c r="G29" s="12" t="n">
        <v>506.18</v>
      </c>
      <c r="H29" s="12">
        <f>C29+ E29+ G29+ $B$6/5</f>
        <v/>
      </c>
    </row>
    <row r="30" ht="18" customHeight="1">
      <c r="A30" s="14" t="inlineStr">
        <is>
          <t>Amazon EC2 Container Registry (ECR)</t>
        </is>
      </c>
      <c r="B30" s="15" t="n">
        <v>0.42</v>
      </c>
      <c r="C30" s="15" t="n">
        <v>0.02</v>
      </c>
      <c r="D30" s="16" t="inlineStr">
        <is>
          <t>—</t>
        </is>
      </c>
      <c r="E30" s="16" t="inlineStr">
        <is>
          <t>—</t>
        </is>
      </c>
      <c r="F30" s="16" t="inlineStr">
        <is>
          <t>—</t>
        </is>
      </c>
      <c r="G30" s="16" t="inlineStr">
        <is>
          <t>—</t>
        </is>
      </c>
      <c r="H30" s="15">
        <f>C30+ $B$6/5</f>
        <v/>
      </c>
    </row>
    <row r="31" ht="18" customHeight="1">
      <c r="A31" s="11" t="inlineStr">
        <is>
          <t>AWS Security Hub</t>
        </is>
      </c>
      <c r="B31" s="12" t="n">
        <v>0.13</v>
      </c>
      <c r="C31" s="13" t="inlineStr">
        <is>
          <t>—</t>
        </is>
      </c>
      <c r="D31" s="13" t="inlineStr">
        <is>
          <t>—</t>
        </is>
      </c>
      <c r="E31" s="13" t="inlineStr">
        <is>
          <t>—</t>
        </is>
      </c>
      <c r="F31" s="13" t="inlineStr">
        <is>
          <t>—</t>
        </is>
      </c>
      <c r="G31" s="13" t="inlineStr">
        <is>
          <t>—</t>
        </is>
      </c>
      <c r="H31" s="12">
        <f>$B$6/5</f>
        <v/>
      </c>
    </row>
    <row r="32" ht="18" customHeight="1">
      <c r="A32" s="14" t="inlineStr">
        <is>
          <t>Amazon Elastic Container Service</t>
        </is>
      </c>
      <c r="B32" s="15" t="n">
        <v>0.03</v>
      </c>
      <c r="C32" s="16" t="inlineStr">
        <is>
          <t>—</t>
        </is>
      </c>
      <c r="D32" s="16" t="inlineStr">
        <is>
          <t>—</t>
        </is>
      </c>
      <c r="E32" s="16" t="inlineStr">
        <is>
          <t>—</t>
        </is>
      </c>
      <c r="F32" s="16" t="inlineStr">
        <is>
          <t>—</t>
        </is>
      </c>
      <c r="G32" s="16" t="inlineStr">
        <is>
          <t>—</t>
        </is>
      </c>
      <c r="H32" s="15">
        <f>$B$6/5</f>
        <v/>
      </c>
    </row>
    <row r="33" ht="18" customHeight="1">
      <c r="A33" s="11" t="inlineStr">
        <is>
          <t>Amazon Elastic Compute Cloud - Compute</t>
        </is>
      </c>
      <c r="B33" s="12" t="n">
        <v>-0.01</v>
      </c>
      <c r="C33" s="12" t="n">
        <v>374.8</v>
      </c>
      <c r="D33" s="13" t="inlineStr">
        <is>
          <t>—</t>
        </is>
      </c>
      <c r="E33" s="12" t="n">
        <v>4024.66</v>
      </c>
      <c r="F33" s="12" t="n">
        <v>1584.16</v>
      </c>
      <c r="G33" s="12" t="n">
        <v>583.83</v>
      </c>
      <c r="H33" s="12">
        <f>C33+ E33+ F33+ G33</f>
        <v/>
      </c>
    </row>
    <row r="34" ht="18" customHeight="1">
      <c r="A34" s="14" t="inlineStr">
        <is>
          <t>AWS Network Firewall</t>
        </is>
      </c>
      <c r="B34" s="16" t="inlineStr">
        <is>
          <t>—</t>
        </is>
      </c>
      <c r="C34" s="15" t="n">
        <v>294.3</v>
      </c>
      <c r="D34" s="16" t="inlineStr">
        <is>
          <t>—</t>
        </is>
      </c>
      <c r="E34" s="16" t="inlineStr">
        <is>
          <t>—</t>
        </is>
      </c>
      <c r="F34" s="16" t="inlineStr">
        <is>
          <t>—</t>
        </is>
      </c>
      <c r="G34" s="16" t="inlineStr">
        <is>
          <t>—</t>
        </is>
      </c>
      <c r="H34" s="15">
        <f>C34</f>
        <v/>
      </c>
    </row>
    <row r="35" ht="18" customHeight="1">
      <c r="A35" s="11" t="inlineStr">
        <is>
          <t>Amazon WorkSpaces Web</t>
        </is>
      </c>
      <c r="B35" s="13" t="inlineStr">
        <is>
          <t>—</t>
        </is>
      </c>
      <c r="C35" s="13" t="inlineStr">
        <is>
          <t>—</t>
        </is>
      </c>
      <c r="D35" s="13" t="inlineStr">
        <is>
          <t>—</t>
        </is>
      </c>
      <c r="E35" s="12" t="n">
        <v>64</v>
      </c>
      <c r="F35" s="13" t="inlineStr">
        <is>
          <t>—</t>
        </is>
      </c>
      <c r="G35" s="13" t="inlineStr">
        <is>
          <t>—</t>
        </is>
      </c>
      <c r="H35" s="12">
        <f>E35</f>
        <v/>
      </c>
    </row>
    <row r="36" ht="18" customHeight="1">
      <c r="A36" s="14" t="inlineStr">
        <is>
          <t>AWS Global Accelerator</t>
        </is>
      </c>
      <c r="B36" s="16" t="inlineStr">
        <is>
          <t>—</t>
        </is>
      </c>
      <c r="C36" s="15" t="n">
        <v>37.2</v>
      </c>
      <c r="D36" s="16" t="inlineStr">
        <is>
          <t>—</t>
        </is>
      </c>
      <c r="E36" s="16" t="inlineStr">
        <is>
          <t>—</t>
        </is>
      </c>
      <c r="F36" s="16" t="inlineStr">
        <is>
          <t>—</t>
        </is>
      </c>
      <c r="G36" s="16" t="inlineStr">
        <is>
          <t>—</t>
        </is>
      </c>
      <c r="H36" s="15">
        <f>C36</f>
        <v/>
      </c>
    </row>
    <row r="37" ht="18" customHeight="1">
      <c r="A37" s="11" t="inlineStr">
        <is>
          <t>AWS Key Management Service</t>
        </is>
      </c>
      <c r="B37" s="13" t="inlineStr">
        <is>
          <t>—</t>
        </is>
      </c>
      <c r="C37" s="12" t="n">
        <v>1</v>
      </c>
      <c r="D37" s="13" t="inlineStr">
        <is>
          <t>—</t>
        </is>
      </c>
      <c r="E37" s="12" t="n">
        <v>1</v>
      </c>
      <c r="F37" s="13" t="inlineStr">
        <is>
          <t>—</t>
        </is>
      </c>
      <c r="G37" s="13" t="inlineStr">
        <is>
          <t>—</t>
        </is>
      </c>
      <c r="H37" s="12">
        <f>C37+ E37</f>
        <v/>
      </c>
    </row>
    <row r="38" ht="18" customHeight="1">
      <c r="A38" s="19" t="inlineStr">
        <is>
          <t>Amazon CloudFront</t>
        </is>
      </c>
      <c r="B38" s="20" t="inlineStr">
        <is>
          <t>—</t>
        </is>
      </c>
      <c r="C38" s="21" t="n">
        <v>0</v>
      </c>
      <c r="D38" s="20" t="inlineStr">
        <is>
          <t>—</t>
        </is>
      </c>
      <c r="E38" s="21" t="n">
        <v>0</v>
      </c>
      <c r="F38" s="21" t="n">
        <v>0</v>
      </c>
      <c r="G38" s="20" t="inlineStr">
        <is>
          <t>—</t>
        </is>
      </c>
      <c r="H38" s="20" t="inlineStr">
        <is>
          <t>—</t>
        </is>
      </c>
    </row>
    <row r="39" ht="18" customHeight="1">
      <c r="A39" s="19" t="inlineStr">
        <is>
          <t>Amazon Simple Notification Service</t>
        </is>
      </c>
      <c r="B39" s="20" t="inlineStr">
        <is>
          <t>—</t>
        </is>
      </c>
      <c r="C39" s="21" t="n">
        <v>0</v>
      </c>
      <c r="D39" s="20" t="inlineStr">
        <is>
          <t>—</t>
        </is>
      </c>
      <c r="E39" s="20" t="inlineStr">
        <is>
          <t>—</t>
        </is>
      </c>
      <c r="F39" s="20" t="inlineStr">
        <is>
          <t>—</t>
        </is>
      </c>
      <c r="G39" s="20" t="inlineStr">
        <is>
          <t>—</t>
        </is>
      </c>
      <c r="H39" s="20" t="inlineStr">
        <is>
          <t>—</t>
        </is>
      </c>
    </row>
    <row r="40" ht="18" customHeight="1">
      <c r="A40" s="19" t="inlineStr">
        <is>
          <t>AWS Certificate Manager</t>
        </is>
      </c>
      <c r="B40" s="20" t="inlineStr">
        <is>
          <t>—</t>
        </is>
      </c>
      <c r="C40" s="21" t="n">
        <v>0</v>
      </c>
      <c r="D40" s="20" t="inlineStr">
        <is>
          <t>—</t>
        </is>
      </c>
      <c r="E40" s="20" t="inlineStr">
        <is>
          <t>—</t>
        </is>
      </c>
      <c r="F40" s="20" t="inlineStr">
        <is>
          <t>—</t>
        </is>
      </c>
      <c r="G40" s="20" t="inlineStr">
        <is>
          <t>—</t>
        </is>
      </c>
      <c r="H40" s="20" t="inlineStr">
        <is>
          <t>—</t>
        </is>
      </c>
    </row>
    <row r="42" ht="26" customHeight="1">
      <c r="A42" s="22" t="inlineStr">
        <is>
          <t>Grand Total — March 2026</t>
        </is>
      </c>
      <c r="B42" s="23">
        <f>$B$6</f>
        <v/>
      </c>
      <c r="C42" s="23">
        <f>SUMIF(C9:C40,"&gt;0",C9:C40)+$B$6/5</f>
        <v/>
      </c>
      <c r="D42" s="23">
        <f>SUMIF(D9:D40,"&gt;0",D9:D40)+$B$6/5</f>
        <v/>
      </c>
      <c r="E42" s="23">
        <f>SUMIF(E9:E40,"&gt;0",E9:E40)+$B$6/5</f>
        <v/>
      </c>
      <c r="F42" s="23">
        <f>SUMIF(F9:F40,"&gt;0",F9:F40)+$B$6/5</f>
        <v/>
      </c>
      <c r="G42" s="23">
        <f>SUMIF(G9:G40,"&gt;0",G9:G40)+$B$6/5</f>
        <v/>
      </c>
      <c r="H42" s="23">
        <f>C42+D42+E42+F42+G42</f>
        <v/>
      </c>
    </row>
    <row r="44" ht="44" customHeight="1">
      <c r="A44" s="24" t="inlineStr">
        <is>
          <t>Note: Costs grouped by 'Project' tag with alias mapping. Untagged resources and unrecognised tag values are treated as Shared Services and split equally across 5 projects (÷5). Generated: 2026-04-06.</t>
        </is>
      </c>
    </row>
  </sheetData>
  <mergeCells count="4">
    <mergeCell ref="A3:H3"/>
    <mergeCell ref="A2:H2"/>
    <mergeCell ref="A44:H4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 ht="28" customHeight="1">
      <c r="A1" s="25" t="inlineStr">
        <is>
          <t>Tag Alias Mapping Reference</t>
        </is>
      </c>
    </row>
    <row r="2" ht="22" customHeight="1">
      <c r="A2" s="26" t="inlineStr">
        <is>
          <t>Canonical Project</t>
        </is>
      </c>
      <c r="B2" s="26" t="inlineStr">
        <is>
          <t>Raw 'Project' tag values (all map to this project)</t>
        </is>
      </c>
    </row>
    <row r="3" ht="18" customHeight="1">
      <c r="A3" s="27" t="inlineStr">
        <is>
          <t>PWCT</t>
        </is>
      </c>
      <c r="B3" s="14" t="inlineStr">
        <is>
          <t>PWCT,  Project_PWCT</t>
        </is>
      </c>
    </row>
    <row r="4" ht="18" customHeight="1">
      <c r="A4" s="28" t="inlineStr">
        <is>
          <t>KGAC</t>
        </is>
      </c>
      <c r="B4" s="11" t="inlineStr">
        <is>
          <t>PWCT_KGAC</t>
        </is>
      </c>
    </row>
    <row r="5" ht="18" customHeight="1">
      <c r="A5" s="27" t="inlineStr">
        <is>
          <t>SCZ</t>
        </is>
      </c>
      <c r="B5" s="14" t="inlineStr">
        <is>
          <t>PWCT_ECA,  PWCT_SCEZ,  PWCT_SCZ,  PWCT-SCZ</t>
        </is>
      </c>
    </row>
    <row r="6" ht="18" customHeight="1">
      <c r="A6" s="28" t="inlineStr">
        <is>
          <t>EPM</t>
        </is>
      </c>
      <c r="B6" s="11" t="inlineStr">
        <is>
          <t>PWCT-EPM,  PWCT_EPM</t>
        </is>
      </c>
    </row>
    <row r="7" ht="18" customHeight="1">
      <c r="A7" s="27" t="inlineStr">
        <is>
          <t>AES Development</t>
        </is>
      </c>
      <c r="B7" s="14" t="inlineStr">
        <is>
          <t>AES_DEV,  PWCT_AES,  PWCT_DEV,  PWCT-AES</t>
        </is>
      </c>
    </row>
    <row r="8" ht="18" customHeight="1">
      <c r="A8" s="5" t="inlineStr">
        <is>
          <t>Shared Services</t>
        </is>
      </c>
      <c r="B8" s="29" t="inlineStr">
        <is>
          <t>Empty tag value (untagged) OR any tag value not listed above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2" customHeight="1">
      <c r="A1" s="1" t="inlineStr">
        <is>
          <t>Project Cost Summary — March 2026</t>
        </is>
      </c>
    </row>
    <row r="2" ht="20" customHeight="1">
      <c r="A2" s="2" t="inlineStr">
        <is>
          <t>Grouped by 'Project' tag with alias mapping  |  Untagged allocated equally (÷5)</t>
        </is>
      </c>
    </row>
    <row r="3" ht="8" customHeight="1"/>
    <row r="4" ht="28" customHeight="1">
      <c r="A4" s="4" t="inlineStr">
        <is>
          <t>Metric</t>
        </is>
      </c>
      <c r="B4" s="4" t="inlineStr">
        <is>
          <t>PWCT</t>
        </is>
      </c>
      <c r="C4" s="4" t="inlineStr">
        <is>
          <t>KGAC</t>
        </is>
      </c>
      <c r="D4" s="4" t="inlineStr">
        <is>
          <t>SCZ</t>
        </is>
      </c>
      <c r="E4" s="4" t="inlineStr">
        <is>
          <t>EPM</t>
        </is>
      </c>
      <c r="F4" s="4" t="inlineStr">
        <is>
          <t>AES Development</t>
        </is>
      </c>
      <c r="G4" s="4" t="inlineStr">
        <is>
          <t>Total</t>
        </is>
      </c>
    </row>
    <row r="5" ht="22" customHeight="1">
      <c r="A5" s="27" t="inlineStr">
        <is>
          <t>Tagged project costs</t>
        </is>
      </c>
      <c r="B5" s="15">
        <f>SUMIF('March 2026 — By Project'!C9:C40,"&gt;0",'March 2026 — By Project'!C9:C40)</f>
        <v/>
      </c>
      <c r="C5" s="15">
        <f>SUMIF('March 2026 — By Project'!D9:D40,"&gt;0",'March 2026 — By Project'!D9:D40)</f>
        <v/>
      </c>
      <c r="D5" s="15">
        <f>SUMIF('March 2026 — By Project'!E9:E40,"&gt;0",'March 2026 — By Project'!E9:E40)</f>
        <v/>
      </c>
      <c r="E5" s="15">
        <f>SUMIF('March 2026 — By Project'!F9:F40,"&gt;0",'March 2026 — By Project'!F9:F40)</f>
        <v/>
      </c>
      <c r="F5" s="15">
        <f>SUMIF('March 2026 — By Project'!G9:G40,"&gt;0",'March 2026 — By Project'!G9:G40)</f>
        <v/>
      </c>
      <c r="G5" s="30">
        <f>SUM(B5:F5)</f>
        <v/>
      </c>
    </row>
    <row r="6" ht="22" customHeight="1">
      <c r="A6" s="28" t="inlineStr">
        <is>
          <t>Shared Services allocation (÷5)</t>
        </is>
      </c>
      <c r="B6" s="12">
        <f>'March 2026 — By Project'!$B$6/5</f>
        <v/>
      </c>
      <c r="C6" s="12">
        <f>'March 2026 — By Project'!$B$6/5</f>
        <v/>
      </c>
      <c r="D6" s="12">
        <f>'March 2026 — By Project'!$B$6/5</f>
        <v/>
      </c>
      <c r="E6" s="12">
        <f>'March 2026 — By Project'!$B$6/5</f>
        <v/>
      </c>
      <c r="F6" s="12">
        <f>'March 2026 — By Project'!$B$6/5</f>
        <v/>
      </c>
      <c r="G6" s="31">
        <f>SUM(B6:F6)</f>
        <v/>
      </c>
    </row>
    <row r="7" ht="22" customHeight="1">
      <c r="A7" s="27" t="inlineStr">
        <is>
          <t>Total cost (tagged + allocated)</t>
        </is>
      </c>
      <c r="B7" s="15">
        <f>'March 2026 — By Project'!C42</f>
        <v/>
      </c>
      <c r="C7" s="15">
        <f>'March 2026 — By Project'!D42</f>
        <v/>
      </c>
      <c r="D7" s="15">
        <f>'March 2026 — By Project'!E42</f>
        <v/>
      </c>
      <c r="E7" s="15">
        <f>'March 2026 — By Project'!F42</f>
        <v/>
      </c>
      <c r="F7" s="15">
        <f>'March 2026 — By Project'!G42</f>
        <v/>
      </c>
      <c r="G7" s="30">
        <f>SUM(B7:F7)</f>
        <v/>
      </c>
    </row>
    <row r="8" ht="22" customHeight="1">
      <c r="A8" s="28" t="inlineStr">
        <is>
          <t>% of combined total</t>
        </is>
      </c>
      <c r="B8" s="32">
        <f>'March 2026 — By Project'!C42/'March 2026 — By Project'!H42</f>
        <v/>
      </c>
      <c r="C8" s="32">
        <f>'March 2026 — By Project'!D42/'March 2026 — By Project'!H42</f>
        <v/>
      </c>
      <c r="D8" s="32">
        <f>'March 2026 — By Project'!E42/'March 2026 — By Project'!H42</f>
        <v/>
      </c>
      <c r="E8" s="32">
        <f>'March 2026 — By Project'!F42/'March 2026 — By Project'!H42</f>
        <v/>
      </c>
      <c r="F8" s="32">
        <f>'March 2026 — By Project'!G42/'March 2026 — By Project'!H42</f>
        <v/>
      </c>
      <c r="G8" s="33">
        <f>SUM(B8:F8)</f>
        <v/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2026-04-06T11:54:25Z</dcterms:created>
  <dcterms:modified xsi:type="dcterms:W3CDTF">2026-04-06T11:54:25Z</dcterms:modified>
</cp:coreProperties>
</file>